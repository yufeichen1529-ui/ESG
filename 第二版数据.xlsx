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ebExtensions/webExtension1.xml" ContentType="application/vnd.wps-officedocument.webExtension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 activeTab="3"/>
  </bookViews>
  <sheets>
    <sheet name="宏观统计" sheetId="1" r:id="rId1"/>
    <sheet name="过程参数" sheetId="2" r:id="rId2"/>
    <sheet name="物质循环" sheetId="3" r:id="rId3"/>
    <sheet name="案例&amp;对标" sheetId="4" r:id="rId4"/>
    <sheet name="政策金融" sheetId="5" r:id="rId5"/>
    <sheet name="补充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<sst xmlns="http://schemas.openxmlformats.org/spreadsheetml/2006/main" count="186" uniqueCount="161">
  <si>
    <t>固体废物总量(公吨/日)</t>
  </si>
  <si>
    <t>固体废物总量增长率（%）</t>
  </si>
  <si>
    <t>数据来源：香港固体废物监查报告</t>
  </si>
  <si>
    <t>拆卸废料总量(公吨/日)</t>
  </si>
  <si>
    <r>
      <rPr>
        <sz val="11"/>
        <color theme="1"/>
        <rFont val="宋体"/>
        <charset val="134"/>
        <scheme val="minor"/>
      </rPr>
      <t>拆卸废料中固体废料的占比（%）</t>
    </r>
    <r>
      <rPr>
        <sz val="11"/>
        <color rgb="FFFF0000"/>
        <rFont val="宋体"/>
        <charset val="134"/>
        <scheme val="minor"/>
      </rPr>
      <t>注：拆卸废物量普遍大于固体废物，因此倒转了一下数据</t>
    </r>
  </si>
  <si>
    <t>处置去向：填埋（万公吨）</t>
  </si>
  <si>
    <t>占比（%）</t>
  </si>
  <si>
    <t>处置去向：填料库（万公吨）</t>
  </si>
  <si>
    <t>立法会十题：建筑废物的处理</t>
  </si>
  <si>
    <r>
      <rPr>
        <sz val="11"/>
        <color theme="1"/>
        <rFont val="宋体"/>
        <charset val="134"/>
        <scheme val="minor"/>
      </rPr>
      <t>处置去向：循环再造（万公吨）</t>
    </r>
    <r>
      <rPr>
        <sz val="11"/>
        <color rgb="FFFF0000"/>
        <rFont val="宋体"/>
        <charset val="134"/>
        <scheme val="minor"/>
      </rPr>
      <t>注：无权威数据，用其他项数据加回归拟合</t>
    </r>
  </si>
  <si>
    <t>NaN</t>
  </si>
  <si>
    <t>总量（万公吨）</t>
  </si>
  <si>
    <t>管理公共填料的开支（百万元）</t>
  </si>
  <si>
    <t>节能潜力变动（C1）</t>
  </si>
  <si>
    <t>铝回收</t>
  </si>
  <si>
    <t>数据来源：Evaluation of the impacts of end-of-life management strategies for deconstruction of a high-rise concrete framed office building</t>
  </si>
  <si>
    <t>外墙回收</t>
  </si>
  <si>
    <t>最大再利用策略</t>
  </si>
  <si>
    <t>最大回收策略</t>
  </si>
  <si>
    <t>最大焚烧策略</t>
  </si>
  <si>
    <t>50年寿命期最佳组合策略</t>
  </si>
  <si>
    <t>70年寿命期最佳组合策略</t>
  </si>
  <si>
    <t>极高</t>
  </si>
  <si>
    <t>运输相关（C2）</t>
  </si>
  <si>
    <t>香港建筑废物卡车日均行程</t>
  </si>
  <si>
    <t>3,000次/天（模糊数据）</t>
  </si>
  <si>
    <t>数据来源：Combinatorial optimization of construction waste collection and transportation: A case study of Hong Kong</t>
  </si>
  <si>
    <t>香港建筑废物卡车年行程</t>
  </si>
  <si>
    <t>大于100万次/年</t>
  </si>
  <si>
    <t>最佳设施选择策略可减少运输距离均值</t>
  </si>
  <si>
    <t>15.2% (15,256 km)</t>
  </si>
  <si>
    <t>最佳设施选择策略可使CO₂减排</t>
  </si>
  <si>
    <t>15.3% (21,467 kg CO₂-eq)</t>
  </si>
  <si>
    <t>三策略组合优化（减少运输距离）</t>
  </si>
  <si>
    <t>20.3% (20,346 km)</t>
  </si>
  <si>
    <t>三策略组合优化（CO₂减排）</t>
  </si>
  <si>
    <t>18.2% (25,544 kg CO₂-eq)</t>
  </si>
  <si>
    <t>C3是真没数据，这个模块压根就无人在意一样</t>
  </si>
  <si>
    <t>香港都市废物回收量（千公吨）</t>
  </si>
  <si>
    <t>钢材相关数据</t>
  </si>
  <si>
    <t>数据来源</t>
  </si>
  <si>
    <t>含铁金属</t>
  </si>
  <si>
    <t>回收1吨钢可节省CO₂排放</t>
  </si>
  <si>
    <t>1.67吨</t>
  </si>
  <si>
    <t xml:space="preserve">EuRIC Metal Recycling Factsheet </t>
  </si>
  <si>
    <t>有色金属</t>
  </si>
  <si>
    <t>再生钢对比原生钢减排比例</t>
  </si>
  <si>
    <t>纸张</t>
  </si>
  <si>
    <t>再生钢碳排放因子减排</t>
  </si>
  <si>
    <t>440 kg CO₂e/吨</t>
  </si>
  <si>
    <t>ASUENE报告 （2025）</t>
  </si>
  <si>
    <t>塑料</t>
  </si>
  <si>
    <t>原生钢碳排放因子减排</t>
  </si>
  <si>
    <t>1,850 kg CO₂e/吨</t>
  </si>
  <si>
    <t>其它</t>
  </si>
  <si>
    <t>使用废钢替代铁矿石减排</t>
  </si>
  <si>
    <t xml:space="preserve"> 560-2,360 kg CO₂e/吨</t>
  </si>
  <si>
    <t>丹麦科技大学</t>
  </si>
  <si>
    <t>铝材相关数据</t>
  </si>
  <si>
    <t>数据来源：香港固体废物监察报告&amp;香港固体废物</t>
  </si>
  <si>
    <t>再生铝对比原生铝减排比例</t>
  </si>
  <si>
    <t>再生铝碳排放因子</t>
  </si>
  <si>
    <t>500 kg CO₂e/吨</t>
  </si>
  <si>
    <t>原生铝碳排放因子</t>
  </si>
  <si>
    <t>12,000 kg CO₂e/吨</t>
  </si>
  <si>
    <t>回收铝净减排量</t>
  </si>
  <si>
    <t>5,040-19,340 kg CO₂e/吨</t>
  </si>
  <si>
    <t>再生骨料相关数据</t>
  </si>
  <si>
    <t>水泥稳定类道路基层碳减排</t>
  </si>
  <si>
    <t xml:space="preserve">建筑废弃物再生骨料研究 (2025) </t>
  </si>
  <si>
    <t>石灰粉煤灰稳定类碳减排</t>
  </si>
  <si>
    <t>再生骨料单独替代减排</t>
  </si>
  <si>
    <t>78-82%</t>
  </si>
  <si>
    <t>再生粗骨料混凝土碳减排</t>
  </si>
  <si>
    <t>27% (282.2 vs 386.7 kg CO₂e/m³)</t>
  </si>
  <si>
    <t xml:space="preserve">Nature Scientific Reports (2026) </t>
  </si>
  <si>
    <t>再生骨料混凝土全生命周期成本节约</t>
  </si>
  <si>
    <t>Nature Scientific Reports (2026)</t>
  </si>
  <si>
    <t>香港混凝土回填比例写在首页中</t>
  </si>
  <si>
    <t>案例</t>
  </si>
  <si>
    <t>减排数据</t>
  </si>
  <si>
    <t>原因</t>
  </si>
  <si>
    <t>启德社区隔离设施</t>
  </si>
  <si>
    <t>20.7% 隐含碳减排</t>
  </si>
  <si>
    <t>缩短工期、减少废物、优化材料使用</t>
  </si>
  <si>
    <t>Wei et al. (2024) Scientific Reports</t>
  </si>
  <si>
    <t>香港MiC试点住宅项目</t>
  </si>
  <si>
    <t>21.60% GHG减排</t>
  </si>
  <si>
    <t>建材隐含排放、建筑废物运输、设备资源消耗</t>
  </si>
  <si>
    <t>Wang et al. (2025) Buildings</t>
  </si>
  <si>
    <t>同上—材料隐含排放占比</t>
  </si>
  <si>
    <t>MiC: 83.11% / tradition: 87.17%</t>
  </si>
  <si>
    <t>材料生产阶段主导</t>
  </si>
  <si>
    <t>Wang et al. (2025)</t>
  </si>
  <si>
    <t>香港钢MiC住宅楼</t>
  </si>
  <si>
    <t>EOL direct emission: 12.39 kg CO₂e/m²</t>
  </si>
  <si>
    <t>废物处理为主</t>
  </si>
  <si>
    <t>Wen et al. (2025) CIB Conference</t>
  </si>
  <si>
    <t>同上—EOL碳节省</t>
  </si>
  <si>
    <t>990.78 kg CO₂e/m²</t>
  </si>
  <si>
    <t>材料再利用+废物回收</t>
  </si>
  <si>
    <t>Wen et al. (2025)</t>
  </si>
  <si>
    <t>同上—净排放</t>
  </si>
  <si>
    <t>-978.39 kg CO₂e/m²</t>
  </si>
  <si>
    <t>回收效益超过排放</t>
  </si>
  <si>
    <t>材料</t>
  </si>
  <si>
    <t>用途</t>
  </si>
  <si>
    <t>混凝土MiC</t>
  </si>
  <si>
    <t>两房单位（更大面积）</t>
  </si>
  <si>
    <t>优</t>
  </si>
  <si>
    <t>数据来源：Exploring environmental impacts from cradle-to-gate and end-of-life phases for adopting Modular integrated Construction (MiC) in Hong Kong by case study using Life Cycle Assessment (LCA) approach</t>
  </si>
  <si>
    <t>一房单位</t>
  </si>
  <si>
    <t>拉完了</t>
  </si>
  <si>
    <t>钢MiC</t>
  </si>
  <si>
    <t>开放式厨房</t>
  </si>
  <si>
    <t>其他配置</t>
  </si>
  <si>
    <t>Cat3披露清单没有被明确建立，披露缺口高于65%</t>
  </si>
  <si>
    <t>国际Cat 3基准相关数据</t>
  </si>
  <si>
    <t>隐含碳占全生命周期排放比例</t>
  </si>
  <si>
    <t>≥50%（工业项目）</t>
  </si>
  <si>
    <t>USGBC</t>
  </si>
  <si>
    <t>范围3占房地产/建筑公司总排放比例</t>
  </si>
  <si>
    <t>70-90%</t>
  </si>
  <si>
    <t>建筑材料（范畴3）占施工项目碳足迹</t>
  </si>
  <si>
    <t>&gt;70%</t>
  </si>
  <si>
    <t>PwC脱碳报告</t>
  </si>
  <si>
    <t>上游供应链/材料排放</t>
  </si>
  <si>
    <t>下游（EOL+使用阶段）排放</t>
  </si>
  <si>
    <t>美国建筑/工程公司范围3达标进展</t>
  </si>
  <si>
    <t>54%（自41%）</t>
  </si>
  <si>
    <t>供应商碳参与领导者比例</t>
  </si>
  <si>
    <t>仅1%</t>
  </si>
  <si>
    <t>公屋回收数据</t>
  </si>
  <si>
    <t>香港公营房屋材料强度</t>
  </si>
  <si>
    <t>1,567–2,386 kg/m²</t>
  </si>
  <si>
    <t>数据来源：Recycling potential of secondary resources in built environment stocks: Evidence from Hong Kong public rental housing</t>
  </si>
  <si>
    <t>2022年总材料存量</t>
  </si>
  <si>
    <t>6,085万公吨</t>
  </si>
  <si>
    <t>未来30年可回收潜力</t>
  </si>
  <si>
    <t>4,695万公吨</t>
  </si>
  <si>
    <t>建筑类型</t>
  </si>
  <si>
    <t>238个屋邨，2,000+栋楼宇</t>
  </si>
  <si>
    <t>隐含碳生命周期评估</t>
  </si>
  <si>
    <t>排序</t>
  </si>
  <si>
    <t>推导</t>
  </si>
  <si>
    <t>数据来源：Life cycle assessment of embodied carbon from buildings’ demolition waste management systems in Hong Kong</t>
  </si>
  <si>
    <t>铝材</t>
  </si>
  <si>
    <t>第1位</t>
  </si>
  <si>
    <t>回收碳减排潜力最高</t>
  </si>
  <si>
    <t>木材</t>
  </si>
  <si>
    <t>第2位</t>
  </si>
  <si>
    <t>通过焚烧回收能源</t>
  </si>
  <si>
    <t>钢材</t>
  </si>
  <si>
    <t>第3位</t>
  </si>
  <si>
    <t>显著减排潜力</t>
  </si>
  <si>
    <t>废塑胶</t>
  </si>
  <si>
    <t>第4位</t>
  </si>
  <si>
    <t>中等减排潜力</t>
  </si>
  <si>
    <t>混凝土</t>
  </si>
  <si>
    <t>极低</t>
  </si>
  <si>
    <t>碳减排潜力有限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</si>
</sst>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9" fontId="0" fillId="0" borderId="0" xfId="0" applyNumberFormat="1" applyAlignment="1">
      <alignment horizontal="right" vertical="center"/>
    </xf>
    <xf numFmtId="4" fontId="0" fillId="0" borderId="0" xfId="0" applyNumberFormat="1" applyAlignment="1">
      <alignment vertical="center"/>
    </xf>
    <xf numFmtId="10" fontId="0" fillId="0" borderId="0" xfId="0" applyNumberFormat="1" applyAlignment="1">
      <alignment horizontal="right" vertical="center"/>
    </xf>
    <xf numFmtId="10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www.wps.cn/officeDocument/2018/webExtension" Target="../webExtensions/webExtension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215900</xdr:colOff>
      <xdr:row>10</xdr:row>
      <xdr:rowOff>31750</xdr:rowOff>
    </xdr:from>
    <xdr:to>
      <xdr:col>9</xdr:col>
      <xdr:colOff>339725</xdr:colOff>
      <xdr:row>30</xdr:row>
      <xdr:rowOff>12700</xdr:rowOff>
    </xdr:to>
    <xdr:pic>
      <xdr:nvPicPr>
        <xdr:cNvPr id="5" name="图表 5"/>
        <xdr:cNvPicPr/>
      </xdr:nvPicPr>
      <xdr:blipFill>
        <a:blip r:embed="rId2"/>
        <a:stretch>
          <a:fillRect/>
        </a:stretch>
      </xdr:blipFill>
      <xdr:spPr>
        <a:xfrm>
          <a:off x="2593340" y="2165350"/>
          <a:ext cx="5258435" cy="4248150"/>
        </a:xfrm>
        <a:prstGeom prst="rect">
          <a:avLst/>
        </a:prstGeom>
        <a:ln>
          <a:solidFill>
            <a:srgbClr val="E8E8E8"/>
          </a:solidFill>
        </a:ln>
        <a:extLst>
          <a:ext uri="{8CAD56D8-0F58-4FB8-B24C-77498146470C}">
            <wpswe:webExtensionRef xmlns:wpswe="http://www.wps.cn/officeDocument/2018/webExtension" r:id="rId1"/>
          </a:ext>
          <wpswe:webExtensionRef xmlns:wpswe="http://www.wps.cn/officeDocument/2018/webExtension" r:id="rId1"/>
        </a:extLst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ebExtensions/_rels/webExtension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oleObject" Target="file:///C:\Users\Administrator\Desktop\&#26032;&#24314;%20XLSX%20&#24037;&#20316;&#34920;.xlsx" TargetMode="External"/></Relationships>
</file>

<file path=xl/webExtensions/webExtension1.xml><?xml version="1.0" encoding="utf-8"?>
<wpswe:webExtension xmlns:wpswe="http://www.wps.cn/officeDocument/2018/webExtension" xmlns:webet="https://web.wps.cn/et/2018/main" webet:type="DataSource" type="1" webet:id="">
  <wpswe:extSource id="webchart" version="3.0"/>
  <wpswe:properties>
    <wpswe:property key="demoData" value="{&quot;category&quot;:[&quot;类别1&quot;,&quot;类别2&quot;,&quot;类别3&quot;,&quot;类别4&quot;,&quot;类别5&quot;],&quot;data&quot;:[[&quot;&quot;,&quot;系列1&quot;,&quot;系列2&quot;,&quot;系列3&quot;],[&quot;类别1&quot;,24,53,40],[&quot;类别2&quot;,43,80,71],[&quot;类别3&quot;,65,116,91],[&quot;类别4&quot;,52,91,65],[&quot;类别5&quot;,40,71,52]],&quot;series&quot;:[&quot;&quot;,&quot;系列1&quot;,&quot;系列2&quot;,&quot;系列3&quot;]}"/>
    <wpswe:property key="extStyle" value="{&quot;series&quot;:[{&quot;barGap&quot;:&quot;28%&quot;,&quot;hoverAnimation&quot;:true,&quot;itemStyle&quot;:{&quot;borderRadius&quot;:[30,30,30,30]},&quot;type&quot;:&quot;bar&quot;}],&quot;tooltip&quot;:{&quot;backgroundColor&quot;:{&quot;rgb&quot;:&quot;rgba(51,51,51,0.7)&quot;,&quot;row&quot;:-1,&quot;themeIndex&quot;:-1,&quot;type&quot;:0},&quot;borderWidth&quot;:0,&quot;confine&quot;:true,&quot;extraCssText&quot;:&quot;max-width: calc(100vw - 36px); overflow: hidden; white-space: nowrap; text-overflow: ellipsis; margin-left: 8px;&quot;},&quot;xAxis&quot;:{&quot;axisLabel&quot;:{&quot;margin&quot;:14}},&quot;yAxis&quot;:{&quot;axisLabel&quot;:{&quot;margin&quot;:8}}}"/>
    <wpswe:property key="isUseCommonErrorPage" value="false"/>
    <wpswe:property key="loadingImage" value="res:/icons/WebChartLoading_et.svg"/>
    <wpswe:property key="renderer" value="echarts"/>
    <wpswe:property key="resId" value="40000083"/>
    <wpswe:property key="sourceTheme" value="{&quot;colors&quot;:[&quot;#000000&quot;,&quot;#ffffff&quot;,&quot;#44546a&quot;,&quot;#e7e6e6&quot;,&quot;#4874cb&quot;,&quot;#ee822f&quot;,&quot;#f2ba02&quot;,&quot;#75bd42&quot;,&quot;#30c0b4&quot;,&quot;#e54c5e&quot;,&quot;#0026e5&quot;,&quot;#7e1fad&quot;,&quot;#000000&quot;,&quot;#ffffff&quot;,&quot;#44546a&quot;,&quot;#e7e6e6&quot;],&quot;fonts&quot;:[&quot;Calibri Light&quot;,&quot;宋体&quot;,&quot;Calibri&quot;,&quot;宋体&quot;]}"/>
    <wpswe:property key="style" value="{&quot;animation&quot;:false,&quot;backgroundColor&quot;:{&quot;rgb&quot;:&quot;#FFFFFF&quot;,&quot;row&quot;:0,&quot;themeIndex&quot;:13,&quot;type&quot;:1},&quot;borderColor&quot;:{&quot;rgb&quot;:&quot;#E8E8E8&quot;,&quot;row&quot;:2,&quot;themeIndex&quot;:13,&quot;type&quot;:1},&quot;global&quot;:{&quot;text&quot;:{&quot;bold&quot;:0,&quot;font&quot;:{&quot;name&quot;:&quot;宋体&quot;,&quot;nameType&quot;:2,&quot;langType&quot;:3},&quot;fontSize&quot;:10,&quot;italic&quot;:0}},&quot;interval&quot;:200,&quot;isTransformDateAxis&quot;:0,&quot;label&quot;:{&quot;position&quot;:&quot;outsideDataLabel&quot;,&quot;show&quot;:false,&quot;textStyle&quot;:{&quot;color&quot;:{&quot;rgb&quot;:&quot;#404040&quot;,&quot;row&quot;:3,&quot;themeIndex&quot;:12,&quot;type&quot;:1},&quot;fontFamily&quot;:{&quot;name&quot;:&quot;宋体&quot;,&quot;themeIndex&quot;:3,&quot;type&quot;:1},&quot;fontSize&quot;:9,&quot;fontStyle&quot;:&quot;normal&quot;,&quot;fontWeight&quot;:&quot;normal&quot;}},&quot;legend&quot;:{&quot;position&quot;:&quot;bottomCenter&quot;,&quot;show&quot;:true,&quot;textStyle&quot;:{&quot;color&quot;:{&quot;rgb&quot;:&quot;#595959&quot;,&quot;row&quot;:2,&quot;themeIndex&quot;:12,&quot;type&quot;:1},&quot;fontFamily&quot;:{&quot;name&quot;:&quot;&quot;,&quot;themeIndex&quot;:&quot;3&quot;,&quot;type&quot;:1},&quot;fontSize&quot;:9,&quot;fontStyle&quot;:&quot;normal&quot;,&quot;fontWeight&quot;:&quot;normal&quot;}},&quot;max&quot;:1200,&quot;min&quot;:0,&quot;seriesThemeColor&quot;:[&quot;#906BE9&quot;,&quot;#06C0D5&quot;,&quot;#558BF7&quot;,&quot;#FFC800&quot;,&quot;#9ADB00&quot;,&quot;#32C267&quot;],&quot;title&quot;:{&quot;position&quot;:&quot;topCenter&quot;,&quot;show&quot;:true,&quot;text&quot;:&quot;香港都市废物回收量（千公吨）&quot;,&quot;textStyle&quot;:{&quot;color&quot;:{&quot;rgb&quot;:&quot;#404040&quot;,&quot;row&quot;:3,&quot;themeIndex&quot;:12,&quot;type&quot;:1},&quot;fontFamily&quot;:{&quot;name&quot;:&quot;&quot;,&quot;themeIndex&quot;:&quot;3&quot;,&quot;type&quot;:1},&quot;fontSize&quot;:14,&quot;fontStyle&quot;:&quot;normal&quot;,&quot;fontWeight&quot;:&quot;bold&quot;}},&quot;tooltip&quot;:{&quot;show&quot;:true,&quot;textStyle&quot;:{&quot;color&quot;:{&quot;rgb&quot;:&quot;#FFFFFF&quot;,&quot;row&quot;:-1,&quot;themeIndex&quot;:-1,&quot;type&quot;:0},&quot;fontFamily&quot;:{&quot;name&quot;:&quot;宋体&quot;,&quot;themeIndex&quot;:3,&quot;type&quot;:1},&quot;fontSize&quot;:9,&quot;fontStyle&quot;:&quot;normal&quot;,&quot;fontWeight&quot;:&quot;normal&quot;}},&quot;xAxis&quot;:{&quot;axisLabel&quot;:{&quot;show&quot;:false,&quot;textStyle&quot;:{&quot;color&quot;:{&quot;rgb&quot;:&quot;#595959&quot;,&quot;row&quot;:2,&quot;themeIndex&quot;:12,&quot;type&quot;:1},&quot;fontFamily&quot;:{&quot;name&quot;:&quot;&quot;,&quot;themeIndex&quot;:&quot;3&quot;,&quot;type&quot;:1},&quot;fontSize&quot;:9,&quot;fontStyle&quot;:&quot;normal&quot;,&quot;fontWeight&quot;:&quot;normal&quot;}},&quot;axisLine&quot;:{&quot;lineStyle&quot;:{&quot;color&quot;:{&quot;rgb&quot;:&quot;#F3F3F3&quot;,&quot;row&quot;:2,&quot;themeIndex&quot;:13,&quot;type&quot;:1},&quot;width&quot;:1},&quot;show&quot;:true},&quot;axisTick&quot;:{&quot;alignWithLabel&quot;:true,&quot;show&quot;:true},&quot;name&quot;:{&quot;show&quot;:false,&quot;text&quot;:&quot;X轴&quot;,&quot;textStyle&quot;:{&quot;color&quot;:{&quot;rgb&quot;:&quot;#595959&quot;,&quot;row&quot;:2,&quot;themeIndex&quot;:12,&quot;type&quot;:1},&quot;fontFamily&quot;:{&quot;name&quot;:&quot;宋体&quot;,&quot;themeIndex&quot;:3,&quot;type&quot;:1},&quot;fontSize&quot;:9,&quot;fontStyle&quot;:&quot;normal&quot;,&quot;fontWeight&quot;:&quot;normal&quot;}},&quot;splitLine&quot;:{&quot;lineStyle&quot;:{&quot;color&quot;:{&quot;rgb&quot;:&quot;#E6E6E6&quot;,&quot;row&quot;:-1,&quot;themeIndex&quot;:-1,&quot;type&quot;:0},&quot;width&quot;:1},&quot;show&quot;:false},&quot;type&quot;:&quot;category&quot;},&quot;yAxis&quot;:{&quot;axisLabel&quot;:{&quot;show&quot;:true,&quot;textStyle&quot;:{&quot;color&quot;:{&quot;rgb&quot;:&quot;#595959&quot;,&quot;row&quot;:2,&quot;themeIndex&quot;:12,&quot;type&quot;:1},&quot;fontFamily&quot;:{&quot;name&quot;:&quot;&quot;,&quot;themeIndex&quot;:&quot;3&quot;,&quot;type&quot;:1},&quot;fontSize&quot;:9,&quot;fontStyle&quot;:&quot;normal&quot;,&quot;fontWeight&quot;:&quot;normal&quot;}},&quot;axisLine&quot;:{&quot;lineStyle&quot;:{&quot;color&quot;:{&quot;rgb&quot;:&quot;#D9D9D9&quot;,&quot;row&quot;:2,&quot;themeIndex&quot;:13,&quot;type&quot;:1},&quot;width&quot;:1},&quot;show&quot;:false},&quot;axisTick&quot;:{&quot;show&quot;:false},&quot;name&quot;:{&quot;show&quot;:false,&quot;text&quot;:&quot;Y轴&quot;,&quot;textStyle&quot;:{&quot;color&quot;:{&quot;rgb&quot;:&quot;#595959&quot;,&quot;row&quot;:2,&quot;themeIndex&quot;:12,&quot;type&quot;:1},&quot;fontFamily&quot;:{&quot;name&quot;:&quot;宋体&quot;,&quot;themeIndex&quot;:3,&quot;type&quot;:1},&quot;fontSize&quot;:9,&quot;fontStyle&quot;:&quot;normal&quot;,&quot;fontWeight&quot;:&quot;normal&quot;}},&quot;splitLine&quot;:{&quot;lineStyle&quot;:{&quot;color&quot;:{&quot;rgb&quot;:&quot;#E6E6E6&quot;,&quot;row&quot;:-1,&quot;themeIndex&quot;:-1,&quot;type&quot;:0},&quot;width&quot;:1},&quot;show&quot;:true},&quot;type&quot;:&quot;value&quot;},&quot;animationLoop&quot;:false,&quot;animationDurationUpdate&quot;:1500,&quot;animationDuration&quot;:1500,&quot;divideType&quot;:&quot;portrait&quot;,&quot;max_origin&quot;:1200,&quot;min_origin&quot;:0,&quot;interval_origin&quot;:200,&quot;seriesDir&quot;:&quot;row&quot;}"/>
    <wpswe:property key="themeOverride" value="false"/>
    <wpswe:property key="type" value="2d-column"/>
  </wpswe:properties>
  <wpswe:watchingCache>
    <wpswe:linkPath>C:\Users\Administrator\Desktop\新建 XLSX 工作表.xlsx</wpswe:linkPath>
    <wpswe:dataRange>
      <wpswe:key>webchart</wpswe:key>
      <wpswe:context>物质循环!$E$2:$M$6</wpswe:context>
      <wpswe:count>5</wpswe:count>
      <wpswe:cells wpswe:idx="0">
        <wpswe:count>9</wpswe:count>
        <wpswe:formatCode>General</wpswe:formatCode>
        <wpswe:cell wpswe:idx="0">
          <wpswe:value>含铁金属</wpswe:value>
        </wpswe:cell>
        <wpswe:cell wpswe:idx="1">
          <wpswe:value>677</wpswe:value>
        </wpswe:cell>
        <wpswe:cell wpswe:idx="2">
          <wpswe:value>708</wpswe:value>
        </wpswe:cell>
        <wpswe:cell wpswe:idx="3">
          <wpswe:value>740</wpswe:value>
        </wpswe:cell>
        <wpswe:cell wpswe:idx="4">
          <wpswe:value>740.7</wpswe:value>
        </wpswe:cell>
        <wpswe:cell wpswe:idx="5">
          <wpswe:value>786.1</wpswe:value>
        </wpswe:cell>
        <wpswe:cell wpswe:idx="6">
          <wpswe:value>857</wpswe:value>
        </wpswe:cell>
        <wpswe:cell wpswe:idx="7">
          <wpswe:value>910</wpswe:value>
        </wpswe:cell>
        <wpswe:cell wpswe:idx="8" wpswe:formatCode="#,##0.00">
          <wpswe:value>1008.7</wpswe:value>
        </wpswe:cell>
      </wpswe:cells>
      <wpswe:cells wpswe:idx="1">
        <wpswe:count>9</wpswe:count>
        <wpswe:formatCode>General</wpswe:formatCode>
        <wpswe:cell wpswe:idx="0">
          <wpswe:value>有色金属</wpswe:value>
        </wpswe:cell>
        <wpswe:cell wpswe:idx="1">
          <wpswe:value>121</wpswe:value>
        </wpswe:cell>
        <wpswe:cell wpswe:idx="2">
          <wpswe:value>118</wpswe:value>
        </wpswe:cell>
        <wpswe:cell wpswe:idx="3">
          <wpswe:value>115</wpswe:value>
        </wpswe:cell>
        <wpswe:cell wpswe:idx="4">
          <wpswe:value>115.3</wpswe:value>
        </wpswe:cell>
        <wpswe:cell wpswe:idx="5">
          <wpswe:value>181.9</wpswe:value>
        </wpswe:cell>
        <wpswe:cell wpswe:idx="6">
          <wpswe:value>99</wpswe:value>
        </wpswe:cell>
        <wpswe:cell wpswe:idx="7">
          <wpswe:value>108</wpswe:value>
        </wpswe:cell>
        <wpswe:cell wpswe:idx="8">
          <wpswe:value>104.5</wpswe:value>
        </wpswe:cell>
      </wpswe:cells>
      <wpswe:cells wpswe:idx="2">
        <wpswe:count>9</wpswe:count>
        <wpswe:formatCode>General</wpswe:formatCode>
        <wpswe:cell wpswe:idx="0">
          <wpswe:value>纸张</wpswe:value>
        </wpswe:cell>
        <wpswe:cell wpswe:idx="1">
          <wpswe:value>574</wpswe:value>
        </wpswe:cell>
        <wpswe:cell wpswe:idx="2">
          <wpswe:value>533</wpswe:value>
        </wpswe:cell>
        <wpswe:cell wpswe:idx="3">
          <wpswe:value>508</wpswe:value>
        </wpswe:cell>
        <wpswe:cell wpswe:idx="4">
          <wpswe:value>450</wpswe:value>
        </wpswe:cell>
        <wpswe:cell wpswe:idx="5">
          <wpswe:value>603</wpswe:value>
        </wpswe:cell>
        <wpswe:cell wpswe:idx="6">
          <wpswe:value>566</wpswe:value>
        </wpswe:cell>
        <wpswe:cell wpswe:idx="7">
          <wpswe:value>576</wpswe:value>
        </wpswe:cell>
        <wpswe:cell wpswe:idx="8">
          <wpswe:value>586.1</wpswe:value>
        </wpswe:cell>
      </wpswe:cells>
      <wpswe:cells wpswe:idx="3">
        <wpswe:count>9</wpswe:count>
        <wpswe:formatCode>General</wpswe:formatCode>
        <wpswe:cell wpswe:idx="0">
          <wpswe:value>塑料</wpswe:value>
        </wpswe:cell>
        <wpswe:cell wpswe:idx="1">
          <wpswe:value>80</wpswe:value>
        </wpswe:cell>
        <wpswe:cell wpswe:idx="2">
          <wpswe:value>90</wpswe:value>
        </wpswe:cell>
        <wpswe:cell wpswe:idx="3">
          <wpswe:value>99</wpswe:value>
        </wpswe:cell>
        <wpswe:cell wpswe:idx="4">
          <wpswe:value>102</wpswe:value>
        </wpswe:cell>
        <wpswe:cell wpswe:idx="5">
          <wpswe:value>104</wpswe:value>
        </wpswe:cell>
        <wpswe:cell wpswe:idx="6">
          <wpswe:value>108</wpswe:value>
        </wpswe:cell>
        <wpswe:cell wpswe:idx="7">
          <wpswe:value>128</wpswe:value>
        </wpswe:cell>
        <wpswe:cell wpswe:idx="8">
          <wpswe:value>101.5</wpswe:value>
        </wpswe:cell>
      </wpswe:cells>
      <wpswe:cells wpswe:idx="4">
        <wpswe:count>9</wpswe:count>
        <wpswe:formatCode>General</wpswe:formatCode>
        <wpswe:cell wpswe:idx="0">
          <wpswe:value>其它</wpswe:value>
        </wpswe:cell>
        <wpswe:cell wpswe:idx="1">
          <wpswe:value>122</wpswe:value>
        </wpswe:cell>
        <wpswe:cell wpswe:idx="2">
          <wpswe:value>135</wpswe:value>
        </wpswe:cell>
        <wpswe:cell wpswe:idx="3">
          <wpswe:value>142</wpswe:value>
        </wpswe:cell>
        <wpswe:cell wpswe:idx="4">
          <wpswe:value>128</wpswe:value>
        </wpswe:cell>
        <wpswe:cell wpswe:idx="5">
          <wpswe:value>163</wpswe:value>
        </wpswe:cell>
        <wpswe:cell wpswe:idx="6">
          <wpswe:value>193</wpswe:value>
        </wpswe:cell>
        <wpswe:cell wpswe:idx="7">
          <wpswe:value>206</wpswe:value>
        </wpswe:cell>
        <wpswe:cell wpswe:idx="8">
          <wpswe:value>217</wpswe:value>
        </wpswe:cell>
      </wpswe:cells>
    </wpswe:dataRange>
  </wpswe:watchingCache>
  <wpswe:snapshot xmlns:r="http://schemas.openxmlformats.org/officeDocument/2006/relationships" r:embed="rId2"/>
  <wpswe:externalData xmlns:r="http://schemas.openxmlformats.org/officeDocument/2006/relationships" r:id="rId1"/>
  <wpswe:url>https://clientweb.docer.wps.cn/web-chart/v1/web-shape.html#/home</wpswe:url>
  <wpswe:constantSnapshot>false</wpswe:constantSnapshot>
</wps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15"/>
  <sheetViews>
    <sheetView workbookViewId="0">
      <selection activeCell="B23" sqref="B23"/>
    </sheetView>
  </sheetViews>
  <sheetFormatPr defaultColWidth="9" defaultRowHeight="16.8"/>
  <cols>
    <col min="2" max="2" width="76.25" customWidth="1"/>
    <col min="3" max="10" width="12.625"/>
    <col min="12" max="12" width="29.625" customWidth="1"/>
  </cols>
  <sheetData>
    <row r="2" spans="2:12">
      <c r="C2">
        <v>2017</v>
      </c>
      <c r="D2">
        <v>2018</v>
      </c>
      <c r="E2">
        <v>2019</v>
      </c>
      <c r="F2">
        <v>2020</v>
      </c>
      <c r="G2">
        <v>2021</v>
      </c>
      <c r="H2">
        <v>2022</v>
      </c>
      <c r="I2">
        <v>2023</v>
      </c>
      <c r="J2">
        <v>2024</v>
      </c>
    </row>
    <row r="3" spans="2:12">
      <c r="B3" t="s">
        <v>0</v>
      </c>
      <c r="C3" s="7">
        <v>15516</v>
      </c>
      <c r="D3" s="7">
        <v>16096</v>
      </c>
      <c r="E3" s="7">
        <v>15637</v>
      </c>
      <c r="F3" s="7">
        <v>14739</v>
      </c>
      <c r="G3" s="7">
        <v>15533</v>
      </c>
      <c r="H3" s="7">
        <v>15725</v>
      </c>
      <c r="I3" s="7">
        <v>15783</v>
      </c>
      <c r="J3" s="7">
        <v>15637</v>
      </c>
    </row>
    <row r="4" spans="2:12">
      <c r="B4" t="s">
        <v>1</v>
      </c>
      <c r="C4">
        <v>1.2</v>
      </c>
      <c r="D4">
        <v>3.7</v>
      </c>
      <c r="E4">
        <v>-2.8</v>
      </c>
      <c r="F4">
        <v>-5.7</v>
      </c>
      <c r="G4">
        <v>5.4</v>
      </c>
      <c r="H4">
        <v>1.2</v>
      </c>
      <c r="I4">
        <v>0.4</v>
      </c>
      <c r="J4">
        <v>-0.9</v>
      </c>
      <c r="L4" t="s">
        <v>2</v>
      </c>
    </row>
    <row r="5" spans="2:12">
      <c r="B5" t="s">
        <v>3</v>
      </c>
      <c r="C5" s="7">
        <v>53148</v>
      </c>
      <c r="D5" s="7">
        <v>49612</v>
      </c>
      <c r="E5" s="7">
        <v>48269</v>
      </c>
      <c r="F5" s="7">
        <v>56622</v>
      </c>
      <c r="G5" s="7">
        <v>53011</v>
      </c>
      <c r="H5" s="7">
        <v>49865</v>
      </c>
      <c r="I5" s="7">
        <v>45560</v>
      </c>
      <c r="J5" s="7">
        <v>50505</v>
      </c>
    </row>
    <row r="6" ht="17" spans="2:12">
      <c r="B6" s="8" t="s">
        <v>4</v>
      </c>
      <c r="C6">
        <f>C5/C3*100</f>
        <v>342.536736272235</v>
      </c>
      <c r="D6">
        <f t="shared" ref="D6:J6" si="0">D5/D3*100</f>
        <v>308.22564612326</v>
      </c>
      <c r="E6">
        <f t="shared" si="0"/>
        <v>308.684530280744</v>
      </c>
      <c r="F6">
        <f t="shared" si="0"/>
        <v>384.164461632404</v>
      </c>
      <c r="G6">
        <f t="shared" si="0"/>
        <v>341.279855790897</v>
      </c>
      <c r="H6">
        <f t="shared" si="0"/>
        <v>317.106518282989</v>
      </c>
      <c r="I6">
        <f t="shared" si="0"/>
        <v>288.66501932459</v>
      </c>
      <c r="J6">
        <f t="shared" si="0"/>
        <v>322.983948327684</v>
      </c>
    </row>
    <row r="8" spans="2:12">
      <c r="B8" t="s">
        <v>5</v>
      </c>
      <c r="E8">
        <v>140</v>
      </c>
      <c r="F8">
        <v>130</v>
      </c>
      <c r="G8">
        <v>130</v>
      </c>
      <c r="H8">
        <v>150</v>
      </c>
      <c r="I8">
        <v>160</v>
      </c>
    </row>
    <row r="9" spans="2:12">
      <c r="B9" t="s">
        <v>6</v>
      </c>
      <c r="E9">
        <f>E8/E14</f>
        <v>0.0795454545454545</v>
      </c>
      <c r="F9">
        <f>F8/F14</f>
        <v>0.0628019323671498</v>
      </c>
      <c r="G9">
        <f>G8/G14</f>
        <v>0.0673575129533679</v>
      </c>
      <c r="H9">
        <f>H8/H14</f>
        <v>0.0824175824175824</v>
      </c>
      <c r="I9">
        <f>I8/I14</f>
        <v>0.0963855421686747</v>
      </c>
    </row>
    <row r="10" spans="2:12">
      <c r="B10" t="s">
        <v>7</v>
      </c>
      <c r="E10">
        <v>920</v>
      </c>
      <c r="F10">
        <v>690</v>
      </c>
      <c r="G10">
        <v>1040</v>
      </c>
      <c r="H10">
        <v>1800</v>
      </c>
      <c r="I10">
        <v>2290</v>
      </c>
    </row>
    <row r="11" spans="2:12">
      <c r="B11" t="s">
        <v>6</v>
      </c>
      <c r="E11">
        <f>E10/E14</f>
        <v>0.522727272727273</v>
      </c>
      <c r="F11">
        <f>F10/F14</f>
        <v>0.333333333333333</v>
      </c>
      <c r="G11">
        <f>G10/G14</f>
        <v>0.538860103626943</v>
      </c>
      <c r="H11">
        <f>H10/H14</f>
        <v>0.989010989010989</v>
      </c>
      <c r="I11">
        <f>I10/I14</f>
        <v>1.37951807228916</v>
      </c>
      <c r="L11" t="s">
        <v>8</v>
      </c>
    </row>
    <row r="12" ht="17" spans="2:12">
      <c r="B12" s="8" t="s">
        <v>9</v>
      </c>
      <c r="E12" s="2">
        <v>615</v>
      </c>
      <c r="F12" s="2">
        <v>1219</v>
      </c>
      <c r="G12" s="2">
        <v>677</v>
      </c>
      <c r="H12" s="2" t="s">
        <v>10</v>
      </c>
      <c r="I12" s="2" t="s">
        <v>10</v>
      </c>
    </row>
    <row r="13" spans="2:12">
      <c r="B13" t="s">
        <v>6</v>
      </c>
      <c r="E13" s="2">
        <f>E12/E14</f>
        <v>0.349431818181818</v>
      </c>
      <c r="F13" s="2">
        <f>F12/F14</f>
        <v>0.588888888888889</v>
      </c>
      <c r="G13" s="2">
        <f>G12/G14</f>
        <v>0.350777202072539</v>
      </c>
      <c r="H13" s="2" t="s">
        <v>10</v>
      </c>
      <c r="I13" s="2" t="s">
        <v>10</v>
      </c>
    </row>
    <row r="14" spans="2:12">
      <c r="B14" t="s">
        <v>11</v>
      </c>
      <c r="E14">
        <v>1760</v>
      </c>
      <c r="F14">
        <v>2070</v>
      </c>
      <c r="G14">
        <v>1930</v>
      </c>
      <c r="H14">
        <v>1820</v>
      </c>
      <c r="I14">
        <v>1660</v>
      </c>
    </row>
    <row r="15" spans="2:12">
      <c r="B15" t="s">
        <v>12</v>
      </c>
      <c r="E15" s="7">
        <v>1254</v>
      </c>
      <c r="F15" s="7">
        <v>1186</v>
      </c>
      <c r="G15">
        <v>855</v>
      </c>
      <c r="H15">
        <v>796</v>
      </c>
      <c r="I15" s="7">
        <v>1079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9"/>
  <sheetViews>
    <sheetView workbookViewId="0">
      <selection activeCell="D27" sqref="D27"/>
    </sheetView>
  </sheetViews>
  <sheetFormatPr defaultColWidth="9" defaultRowHeight="16.8" outlineLevelCol="4"/>
  <cols>
    <col min="2" max="2" width="32.875" customWidth="1"/>
    <col min="3" max="3" width="27.625" customWidth="1"/>
    <col min="4" max="4" width="24.625" customWidth="1"/>
    <col min="5" max="5" width="9.25" customWidth="1"/>
  </cols>
  <sheetData>
    <row r="2" spans="2:5">
      <c r="B2" t="s">
        <v>13</v>
      </c>
    </row>
    <row r="3" spans="2:5">
      <c r="B3" t="s">
        <v>14</v>
      </c>
      <c r="C3" s="6">
        <v>0.307</v>
      </c>
      <c r="E3" t="s">
        <v>15</v>
      </c>
    </row>
    <row r="4" spans="2:5">
      <c r="B4" t="s">
        <v>16</v>
      </c>
      <c r="C4" s="6">
        <v>0.306</v>
      </c>
    </row>
    <row r="5" spans="2:5">
      <c r="B5" t="s">
        <v>17</v>
      </c>
      <c r="C5" s="6">
        <v>0.385</v>
      </c>
    </row>
    <row r="6" spans="2:5">
      <c r="B6" t="s">
        <v>18</v>
      </c>
      <c r="C6" s="6">
        <v>0.359</v>
      </c>
    </row>
    <row r="7" spans="2:5">
      <c r="B7" t="s">
        <v>19</v>
      </c>
      <c r="C7" s="6">
        <v>-0.448</v>
      </c>
    </row>
    <row r="8" spans="2:5">
      <c r="B8" t="s">
        <v>20</v>
      </c>
      <c r="C8" s="6">
        <v>0.544</v>
      </c>
    </row>
    <row r="9" spans="2:5">
      <c r="B9" t="s">
        <v>21</v>
      </c>
      <c r="C9" s="2" t="s">
        <v>22</v>
      </c>
    </row>
    <row r="11" spans="2:5">
      <c r="B11" t="s">
        <v>23</v>
      </c>
    </row>
    <row r="12" spans="2:5">
      <c r="B12" t="s">
        <v>24</v>
      </c>
      <c r="C12" s="2" t="s">
        <v>25</v>
      </c>
      <c r="E12" t="s">
        <v>26</v>
      </c>
    </row>
    <row r="13" spans="2:5">
      <c r="B13" t="s">
        <v>27</v>
      </c>
      <c r="C13" s="2" t="s">
        <v>28</v>
      </c>
    </row>
    <row r="14" spans="2:5">
      <c r="B14" t="s">
        <v>29</v>
      </c>
      <c r="C14" s="2" t="s">
        <v>30</v>
      </c>
    </row>
    <row r="15" spans="2:5">
      <c r="B15" t="s">
        <v>31</v>
      </c>
      <c r="C15" s="2" t="s">
        <v>32</v>
      </c>
    </row>
    <row r="16" spans="2:5">
      <c r="B16" t="s">
        <v>33</v>
      </c>
      <c r="C16" s="2" t="s">
        <v>34</v>
      </c>
    </row>
    <row r="17" spans="2:3">
      <c r="B17" t="s">
        <v>35</v>
      </c>
      <c r="C17" s="2" t="s">
        <v>36</v>
      </c>
    </row>
    <row r="19" spans="2:3">
      <c r="B19" s="1" t="s">
        <v>37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Q22"/>
  <sheetViews>
    <sheetView workbookViewId="0">
      <selection activeCell="E1" sqref="E1"/>
    </sheetView>
  </sheetViews>
  <sheetFormatPr defaultColWidth="9" defaultRowHeight="16.8"/>
  <cols>
    <col min="5" max="5" width="42.5" customWidth="1"/>
    <col min="9" max="9" width="8.25" customWidth="1"/>
    <col min="15" max="15" width="33.25" customWidth="1"/>
    <col min="16" max="16" width="34.375" customWidth="1"/>
    <col min="17" max="17" width="34.125" customWidth="1"/>
  </cols>
  <sheetData>
    <row r="1" spans="5:17">
      <c r="E1" t="s">
        <v>38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O1" t="s">
        <v>39</v>
      </c>
      <c r="Q1" t="s">
        <v>40</v>
      </c>
    </row>
    <row r="2" spans="5:17">
      <c r="E2" t="s">
        <v>41</v>
      </c>
      <c r="F2">
        <v>677</v>
      </c>
      <c r="G2">
        <v>708</v>
      </c>
      <c r="H2">
        <v>740</v>
      </c>
      <c r="I2">
        <v>740.7</v>
      </c>
      <c r="J2">
        <v>786.1</v>
      </c>
      <c r="K2">
        <v>857</v>
      </c>
      <c r="L2">
        <v>910</v>
      </c>
      <c r="M2" s="4">
        <v>1008.7</v>
      </c>
      <c r="O2" t="s">
        <v>42</v>
      </c>
      <c r="P2" s="2" t="s">
        <v>43</v>
      </c>
      <c r="Q2" t="s">
        <v>44</v>
      </c>
    </row>
    <row r="3" spans="5:17">
      <c r="E3" t="s">
        <v>45</v>
      </c>
      <c r="F3">
        <v>121</v>
      </c>
      <c r="G3">
        <v>118</v>
      </c>
      <c r="H3">
        <v>115</v>
      </c>
      <c r="I3">
        <v>115.3</v>
      </c>
      <c r="J3">
        <v>181.9</v>
      </c>
      <c r="K3">
        <v>99</v>
      </c>
      <c r="L3">
        <v>108</v>
      </c>
      <c r="M3">
        <v>104.5</v>
      </c>
      <c r="O3" t="s">
        <v>46</v>
      </c>
      <c r="P3" s="3">
        <v>0.58</v>
      </c>
      <c r="Q3" t="s">
        <v>44</v>
      </c>
    </row>
    <row r="4" spans="5:17">
      <c r="E4" t="s">
        <v>47</v>
      </c>
      <c r="F4">
        <v>574</v>
      </c>
      <c r="G4">
        <v>533</v>
      </c>
      <c r="H4">
        <v>508</v>
      </c>
      <c r="I4">
        <v>450</v>
      </c>
      <c r="J4">
        <v>603</v>
      </c>
      <c r="K4">
        <v>566</v>
      </c>
      <c r="L4">
        <v>576</v>
      </c>
      <c r="M4">
        <v>586.1</v>
      </c>
      <c r="O4" t="s">
        <v>48</v>
      </c>
      <c r="P4" s="2" t="s">
        <v>49</v>
      </c>
      <c r="Q4" t="s">
        <v>50</v>
      </c>
    </row>
    <row r="5" spans="5:17">
      <c r="E5" t="s">
        <v>51</v>
      </c>
      <c r="F5">
        <v>80</v>
      </c>
      <c r="G5">
        <v>90</v>
      </c>
      <c r="H5">
        <v>99</v>
      </c>
      <c r="I5">
        <v>102</v>
      </c>
      <c r="J5">
        <v>104</v>
      </c>
      <c r="K5">
        <v>108</v>
      </c>
      <c r="L5">
        <v>128</v>
      </c>
      <c r="M5">
        <v>101.5</v>
      </c>
      <c r="O5" t="s">
        <v>52</v>
      </c>
      <c r="P5" s="2" t="s">
        <v>53</v>
      </c>
      <c r="Q5" t="s">
        <v>50</v>
      </c>
    </row>
    <row r="6" spans="5:17">
      <c r="E6" t="s">
        <v>54</v>
      </c>
      <c r="F6">
        <v>122</v>
      </c>
      <c r="G6">
        <v>135</v>
      </c>
      <c r="H6">
        <v>142</v>
      </c>
      <c r="I6">
        <v>128</v>
      </c>
      <c r="J6">
        <v>163</v>
      </c>
      <c r="K6">
        <v>193</v>
      </c>
      <c r="L6">
        <v>206</v>
      </c>
      <c r="M6">
        <v>217</v>
      </c>
      <c r="O6" t="s">
        <v>55</v>
      </c>
      <c r="P6" s="2" t="s">
        <v>56</v>
      </c>
      <c r="Q6" t="s">
        <v>57</v>
      </c>
    </row>
    <row r="8" spans="5:17">
      <c r="O8" t="s">
        <v>58</v>
      </c>
    </row>
    <row r="9" spans="5:17">
      <c r="E9" t="s">
        <v>59</v>
      </c>
      <c r="O9" t="s">
        <v>60</v>
      </c>
      <c r="P9" s="3">
        <v>0.92</v>
      </c>
      <c r="Q9" t="s">
        <v>44</v>
      </c>
    </row>
    <row r="10" spans="5:17">
      <c r="O10" t="s">
        <v>61</v>
      </c>
      <c r="P10" s="2" t="s">
        <v>62</v>
      </c>
      <c r="Q10" t="s">
        <v>50</v>
      </c>
    </row>
    <row r="11" spans="5:17">
      <c r="O11" t="s">
        <v>63</v>
      </c>
      <c r="P11" s="2" t="s">
        <v>64</v>
      </c>
      <c r="Q11" t="s">
        <v>50</v>
      </c>
    </row>
    <row r="12" spans="5:17">
      <c r="O12" t="s">
        <v>65</v>
      </c>
      <c r="P12" s="2" t="s">
        <v>66</v>
      </c>
      <c r="Q12" t="s">
        <v>57</v>
      </c>
    </row>
    <row r="14" spans="5:17">
      <c r="O14" t="s">
        <v>67</v>
      </c>
    </row>
    <row r="15" spans="5:17">
      <c r="O15" t="s">
        <v>68</v>
      </c>
      <c r="P15" s="5">
        <v>0.192</v>
      </c>
      <c r="Q15" t="s">
        <v>69</v>
      </c>
    </row>
    <row r="16" spans="5:17">
      <c r="O16" t="s">
        <v>70</v>
      </c>
      <c r="P16" s="5">
        <v>0.216</v>
      </c>
      <c r="Q16" t="s">
        <v>69</v>
      </c>
    </row>
    <row r="17" spans="15:17">
      <c r="O17" t="s">
        <v>71</v>
      </c>
      <c r="P17" s="2" t="s">
        <v>72</v>
      </c>
      <c r="Q17" t="s">
        <v>69</v>
      </c>
    </row>
    <row r="18" spans="15:17">
      <c r="O18" t="s">
        <v>73</v>
      </c>
      <c r="P18" s="2" t="s">
        <v>74</v>
      </c>
      <c r="Q18" t="s">
        <v>75</v>
      </c>
    </row>
    <row r="19" spans="15:17">
      <c r="O19" t="s">
        <v>76</v>
      </c>
      <c r="P19" s="5">
        <v>0.306</v>
      </c>
      <c r="Q19" t="s">
        <v>77</v>
      </c>
    </row>
    <row r="22" spans="15:17">
      <c r="O22" s="1" t="s">
        <v>78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H25"/>
  <sheetViews>
    <sheetView tabSelected="1" workbookViewId="0">
      <selection activeCell="C17" sqref="C17"/>
    </sheetView>
  </sheetViews>
  <sheetFormatPr defaultColWidth="9" defaultRowHeight="16.8" outlineLevelCol="7"/>
  <cols>
    <col min="1" max="1" width="23.125" customWidth="1"/>
    <col min="2" max="2" width="34.625" customWidth="1"/>
    <col min="3" max="3" width="42.125" customWidth="1"/>
    <col min="4" max="4" width="39" customWidth="1"/>
    <col min="5" max="5" width="14.125" customWidth="1"/>
    <col min="6" max="6" width="21.125" customWidth="1"/>
  </cols>
  <sheetData>
    <row r="5" spans="1:4">
      <c r="A5" t="s">
        <v>79</v>
      </c>
      <c r="B5" t="s">
        <v>80</v>
      </c>
      <c r="C5" t="s">
        <v>81</v>
      </c>
      <c r="D5" t="s">
        <v>40</v>
      </c>
    </row>
    <row r="6" spans="1:4">
      <c r="A6" t="s">
        <v>82</v>
      </c>
      <c r="B6" t="s">
        <v>83</v>
      </c>
      <c r="C6" t="s">
        <v>84</v>
      </c>
      <c r="D6" t="s">
        <v>85</v>
      </c>
    </row>
    <row r="7" spans="1:4">
      <c r="A7" t="s">
        <v>86</v>
      </c>
      <c r="B7" t="s">
        <v>87</v>
      </c>
      <c r="C7" t="s">
        <v>88</v>
      </c>
      <c r="D7" t="s">
        <v>89</v>
      </c>
    </row>
    <row r="8" spans="1:4">
      <c r="A8" t="s">
        <v>90</v>
      </c>
      <c r="B8" t="s">
        <v>91</v>
      </c>
      <c r="C8" t="s">
        <v>92</v>
      </c>
      <c r="D8" t="s">
        <v>93</v>
      </c>
    </row>
    <row r="9" spans="1:4">
      <c r="A9" t="s">
        <v>94</v>
      </c>
      <c r="B9" t="s">
        <v>95</v>
      </c>
      <c r="C9" t="s">
        <v>96</v>
      </c>
      <c r="D9" t="s">
        <v>97</v>
      </c>
    </row>
    <row r="10" spans="1:4">
      <c r="A10" t="s">
        <v>98</v>
      </c>
      <c r="B10" t="s">
        <v>99</v>
      </c>
      <c r="C10" t="s">
        <v>100</v>
      </c>
      <c r="D10" t="s">
        <v>101</v>
      </c>
    </row>
    <row r="11" spans="1:4">
      <c r="A11" t="s">
        <v>102</v>
      </c>
      <c r="B11" s="9" t="s">
        <v>103</v>
      </c>
      <c r="C11" t="s">
        <v>104</v>
      </c>
      <c r="D11" t="s">
        <v>101</v>
      </c>
    </row>
    <row r="21" spans="1:8">
      <c r="A21" s="1"/>
      <c r="E21" t="s">
        <v>105</v>
      </c>
      <c r="F21" t="s">
        <v>106</v>
      </c>
    </row>
    <row r="22" spans="1:8">
      <c r="E22" t="s">
        <v>107</v>
      </c>
      <c r="F22" t="s">
        <v>108</v>
      </c>
      <c r="G22" t="s">
        <v>109</v>
      </c>
      <c r="H22" t="s">
        <v>110</v>
      </c>
    </row>
    <row r="23" spans="1:8">
      <c r="E23" t="s">
        <v>107</v>
      </c>
      <c r="F23" t="s">
        <v>111</v>
      </c>
      <c r="G23" t="s">
        <v>112</v>
      </c>
    </row>
    <row r="24" spans="1:8">
      <c r="E24" t="s">
        <v>113</v>
      </c>
      <c r="F24" t="s">
        <v>114</v>
      </c>
      <c r="G24" t="s">
        <v>109</v>
      </c>
    </row>
    <row r="25" spans="1:8">
      <c r="E25" t="s">
        <v>113</v>
      </c>
      <c r="F25" t="s">
        <v>115</v>
      </c>
      <c r="G25" t="s">
        <v>112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2"/>
  <sheetViews>
    <sheetView workbookViewId="0">
      <selection activeCell="J10" sqref="J10"/>
    </sheetView>
  </sheetViews>
  <sheetFormatPr defaultColWidth="9" defaultRowHeight="16.8" outlineLevelCol="3"/>
  <cols>
    <col min="2" max="2" width="43.5" customWidth="1"/>
    <col min="3" max="3" width="29.25" customWidth="1"/>
    <col min="4" max="4" width="15" customWidth="1"/>
  </cols>
  <sheetData>
    <row r="2" spans="2:4">
      <c r="B2" s="1" t="s">
        <v>116</v>
      </c>
    </row>
    <row r="5" spans="2:4">
      <c r="B5" t="s">
        <v>117</v>
      </c>
    </row>
    <row r="6" spans="2:4">
      <c r="B6" t="s">
        <v>118</v>
      </c>
      <c r="C6" s="2" t="s">
        <v>119</v>
      </c>
      <c r="D6" s="2" t="s">
        <v>120</v>
      </c>
    </row>
    <row r="7" spans="2:4">
      <c r="B7" t="s">
        <v>121</v>
      </c>
      <c r="C7" s="2" t="s">
        <v>122</v>
      </c>
      <c r="D7" s="2" t="s">
        <v>120</v>
      </c>
    </row>
    <row r="8" spans="2:4">
      <c r="B8" t="s">
        <v>123</v>
      </c>
      <c r="C8" s="2" t="s">
        <v>124</v>
      </c>
      <c r="D8" s="2" t="s">
        <v>125</v>
      </c>
    </row>
    <row r="9" spans="2:4">
      <c r="B9" t="s">
        <v>126</v>
      </c>
      <c r="C9" s="3">
        <v>0.65</v>
      </c>
      <c r="D9" s="2" t="s">
        <v>125</v>
      </c>
    </row>
    <row r="10" spans="2:4">
      <c r="B10" t="s">
        <v>127</v>
      </c>
      <c r="C10" s="3">
        <v>0.12</v>
      </c>
      <c r="D10" s="2" t="s">
        <v>125</v>
      </c>
    </row>
    <row r="11" spans="2:4">
      <c r="B11" t="s">
        <v>128</v>
      </c>
      <c r="C11" s="2" t="s">
        <v>129</v>
      </c>
      <c r="D11" s="2" t="s">
        <v>125</v>
      </c>
    </row>
    <row r="12" spans="2:4">
      <c r="B12" t="s">
        <v>130</v>
      </c>
      <c r="C12" s="2" t="s">
        <v>131</v>
      </c>
      <c r="D12" s="2" t="s">
        <v>125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14"/>
  <sheetViews>
    <sheetView workbookViewId="0">
      <selection activeCell="B28" sqref="B28"/>
    </sheetView>
  </sheetViews>
  <sheetFormatPr defaultColWidth="9" defaultRowHeight="16.8"/>
  <cols>
    <col min="1" max="1" width="25.375" customWidth="1"/>
    <col min="2" max="2" width="25.25" customWidth="1"/>
    <col min="3" max="3" width="19.625" customWidth="1"/>
  </cols>
  <sheetData>
    <row r="2" spans="1:9">
      <c r="A2" t="s">
        <v>132</v>
      </c>
    </row>
    <row r="3" spans="1:9">
      <c r="A3" t="s">
        <v>133</v>
      </c>
      <c r="B3" t="s">
        <v>134</v>
      </c>
      <c r="I3" t="s">
        <v>135</v>
      </c>
    </row>
    <row r="4" spans="1:9">
      <c r="A4" t="s">
        <v>136</v>
      </c>
      <c r="B4" t="s">
        <v>137</v>
      </c>
    </row>
    <row r="5" spans="1:9">
      <c r="A5" t="s">
        <v>138</v>
      </c>
      <c r="B5" t="s">
        <v>139</v>
      </c>
    </row>
    <row r="6" spans="1:9">
      <c r="A6" t="s">
        <v>140</v>
      </c>
      <c r="B6" t="s">
        <v>141</v>
      </c>
    </row>
    <row r="8" spans="1:9">
      <c r="A8" t="s">
        <v>142</v>
      </c>
    </row>
    <row r="9" spans="1:9">
      <c r="A9" t="s">
        <v>105</v>
      </c>
      <c r="B9" t="s">
        <v>143</v>
      </c>
      <c r="C9" t="s">
        <v>144</v>
      </c>
      <c r="I9" t="s">
        <v>145</v>
      </c>
    </row>
    <row r="10" spans="1:9">
      <c r="A10" t="s">
        <v>146</v>
      </c>
      <c r="B10" t="s">
        <v>147</v>
      </c>
      <c r="C10" t="s">
        <v>148</v>
      </c>
    </row>
    <row r="11" spans="1:9">
      <c r="A11" t="s">
        <v>149</v>
      </c>
      <c r="B11" t="s">
        <v>150</v>
      </c>
      <c r="C11" t="s">
        <v>151</v>
      </c>
    </row>
    <row r="12" spans="1:9">
      <c r="A12" t="s">
        <v>152</v>
      </c>
      <c r="B12" t="s">
        <v>153</v>
      </c>
      <c r="C12" t="s">
        <v>154</v>
      </c>
    </row>
    <row r="13" spans="1:9">
      <c r="A13" t="s">
        <v>155</v>
      </c>
      <c r="B13" t="s">
        <v>156</v>
      </c>
      <c r="C13" t="s">
        <v>157</v>
      </c>
    </row>
    <row r="14" spans="1:9">
      <c r="A14" t="s">
        <v>158</v>
      </c>
      <c r="B14" t="s">
        <v>159</v>
      </c>
      <c r="C14" t="s">
        <v>160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宏观统计</vt:lpstr>
      <vt:lpstr>过程参数</vt:lpstr>
      <vt:lpstr>物质循环</vt:lpstr>
      <vt:lpstr>案例&amp;对标</vt:lpstr>
      <vt:lpstr>政策金融</vt:lpstr>
      <vt:lpstr>补充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23号巨哈</cp:lastModifiedBy>
  <dcterms:created xsi:type="dcterms:W3CDTF">2023-05-13T03:15:00Z</dcterms:created>
  <dcterms:modified xsi:type="dcterms:W3CDTF">2026-04-20T09:50:00Z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CCA8862AEBF02CDAF684E5691ADC544C_43</vt:lpwstr>
  </property>
  <property fmtid="{D5CDD505-2E9C-101B-9397-08002B2CF9AE}" pid="4" name="CalculationRule">
    <vt:i4>0</vt:i4>
  </property>
</Properties>
</file>